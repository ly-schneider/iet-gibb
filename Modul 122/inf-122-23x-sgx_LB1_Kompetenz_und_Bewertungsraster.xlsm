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37A63EE7-654F-3FA9-A528-636911D70600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levyn/Library/CloudStorage/OneDrive-Persönlich/Module/Modul 122/"/>
    </mc:Choice>
  </mc:AlternateContent>
  <xr:revisionPtr revIDLastSave="0" documentId="13_ncr:1_{2991D3C4-97A7-4F43-8F8E-D67EB086A933}" xr6:coauthVersionLast="47" xr6:coauthVersionMax="47" xr10:uidLastSave="{00000000-0000-0000-0000-000000000000}"/>
  <bookViews>
    <workbookView xWindow="0" yWindow="500" windowWidth="28800" windowHeight="17500" xr2:uid="{6C835B58-6111-4420-BAAB-6F68DFF88996}"/>
  </bookViews>
  <sheets>
    <sheet name="LB1" sheetId="4" r:id="rId1"/>
  </sheets>
  <definedNames>
    <definedName name="Bewertungsbereich" localSheetId="0">'LB1'!$E:$E</definedName>
    <definedName name="Bewertungsbereich">#REF!</definedName>
    <definedName name="_xlnm.Print_Area" localSheetId="0">'LB1'!$A$1:$F$133</definedName>
    <definedName name="_xlnm.Print_Titles" localSheetId="0">'LB1'!$1:$3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4" l="1"/>
  <c r="E132" i="4"/>
  <c r="F94" i="4"/>
  <c r="F126" i="4"/>
  <c r="F120" i="4"/>
  <c r="F114" i="4"/>
  <c r="F107" i="4"/>
  <c r="F101" i="4"/>
  <c r="F88" i="4"/>
  <c r="E86" i="4" s="1"/>
  <c r="F81" i="4"/>
  <c r="E79" i="4" s="1"/>
  <c r="F74" i="4"/>
  <c r="F68" i="4"/>
  <c r="F62" i="4"/>
  <c r="F56" i="4"/>
  <c r="F50" i="4"/>
  <c r="F43" i="4"/>
  <c r="F37" i="4"/>
  <c r="F30" i="4"/>
  <c r="F24" i="4"/>
  <c r="F18" i="4"/>
  <c r="F12" i="4"/>
  <c r="E112" i="4" l="1"/>
  <c r="E99" i="4"/>
  <c r="E48" i="4"/>
  <c r="E35" i="4"/>
  <c r="E131" i="4"/>
  <c r="E133" i="4" s="1"/>
  <c r="D2" i="4" s="1"/>
  <c r="E4" i="4"/>
</calcChain>
</file>

<file path=xl/sharedStrings.xml><?xml version="1.0" encoding="utf-8"?>
<sst xmlns="http://schemas.openxmlformats.org/spreadsheetml/2006/main" count="153" uniqueCount="117">
  <si>
    <t>Bemerkungen</t>
  </si>
  <si>
    <t>Zweck des Skriptes</t>
  </si>
  <si>
    <t>Ziele</t>
  </si>
  <si>
    <t>Angaben fehlen</t>
  </si>
  <si>
    <t>Anforderungen</t>
  </si>
  <si>
    <t>Eingaben</t>
  </si>
  <si>
    <t>Ausgaben</t>
  </si>
  <si>
    <t>Ablaufdiagramm</t>
  </si>
  <si>
    <t>Variablen</t>
  </si>
  <si>
    <t>Code und Kommentare</t>
  </si>
  <si>
    <t>Fehlerüberprüfung</t>
  </si>
  <si>
    <t>Integration, Kompatibilität, Wartung</t>
  </si>
  <si>
    <t>Umfang und Schwierigkeitsgrad</t>
  </si>
  <si>
    <t>Präsentation, Demo, Video</t>
  </si>
  <si>
    <t>Dokumentation</t>
  </si>
  <si>
    <t>Journal</t>
  </si>
  <si>
    <t>Wiederholung/Iteration</t>
  </si>
  <si>
    <t>Total Punkte</t>
  </si>
  <si>
    <t>Note</t>
  </si>
  <si>
    <t>Erreichte Punkte</t>
  </si>
  <si>
    <t>Mehr als 2 IF Statements und ein Case-Konstrukt ist programmiert</t>
  </si>
  <si>
    <t>Nur 1 IF-Statement ist eingesetzt</t>
  </si>
  <si>
    <t>Mehr als 2 IF Statements und eine Und/Oder-Überprüfung ist vorhanden</t>
  </si>
  <si>
    <t>Pte</t>
  </si>
  <si>
    <t>Ist präzise beschrieben und zeigt den Nutzen.</t>
  </si>
  <si>
    <t>Ist gut und verständlich beschrieben.</t>
  </si>
  <si>
    <t>Ist nur knapp beschrieben.</t>
  </si>
  <si>
    <t>Angaben fehlen.</t>
  </si>
  <si>
    <t>Sind detailliert im Kontext beschrieben und mit Beispielen belegt.</t>
  </si>
  <si>
    <t>Sind beschrieben, aber der Nutzen oder die Beispiele fehlen.</t>
  </si>
  <si>
    <t>Sind zwar beschrieben, weisen jedoch Lücken auf.</t>
  </si>
  <si>
    <t>2 oder mehr Benutzereingaben und Einlesen der Daten aus einer Datei.</t>
  </si>
  <si>
    <t>Mind. 2 Benutzereingaben sind vorhanden.</t>
  </si>
  <si>
    <t>Eine Benutzereingabe ist implementiert.</t>
  </si>
  <si>
    <t>Mindestens zwei Ausgaben werden verwendet (Bildschirm, Datei).</t>
  </si>
  <si>
    <t>Die Ausgabe erscheint am Bildschirm. Mehr als eine Option ist möglich.</t>
  </si>
  <si>
    <t>Nur eine Ausgabe erscheint am Bildschirm.</t>
  </si>
  <si>
    <t>Mindestens 3 Variablentypen werden eingesetzt.</t>
  </si>
  <si>
    <t>1 Variablentyp wird verwendet.</t>
  </si>
  <si>
    <t>2 Variablentypen werden eingesetzt.</t>
  </si>
  <si>
    <t>Die Kommentare ergänzen den Code vollständig und machen das Programm lesbarer.</t>
  </si>
  <si>
    <t>Kommentare sind vorhanden, aber ergänzen nicht vollständig.</t>
  </si>
  <si>
    <t>Einige Kommentare sind da, aber zu wenig detailliert.</t>
  </si>
  <si>
    <t>Eine Schleife ist korrekt programmiert und terminiert.</t>
  </si>
  <si>
    <t>Teilweise</t>
  </si>
  <si>
    <t>Nicht oder Angaben fehlen.</t>
  </si>
  <si>
    <t>Vollständig, also mehr als 2 Fälle werden behandelt.</t>
  </si>
  <si>
    <t>Mindestens 2 Situationen werden überprüft und gemeldet.</t>
  </si>
  <si>
    <t>Plattformintegration - das Programm läuft auf allen Versionen.</t>
  </si>
  <si>
    <t>Plattformintegration - das Programm ist abhängig von der aktuellen Version.</t>
  </si>
  <si>
    <t>Plattformintegration, Kompatibilität, Sicherheit, Wartung sind erklärt.</t>
  </si>
  <si>
    <t>1 Testfall wird aufgezeigt.</t>
  </si>
  <si>
    <t>Es ist kein Testfall beschrieben oder die Angaben fehlen.</t>
  </si>
  <si>
    <t>2 Testfälle werden gezeigt.</t>
  </si>
  <si>
    <t>Mehr als 2 Testfälle zeigen das korrekte Verhalten des Skriptes.</t>
  </si>
  <si>
    <t>Eingabe, Verarbeitung, Ausgabe sind programmiert.</t>
  </si>
  <si>
    <t>Umfang und Schwierigkeitsgrad sowie der Nutzen sind hoch.</t>
  </si>
  <si>
    <t>Entspricht den definierten Anforderungen, ist übersichtlich und detailliert.</t>
  </si>
  <si>
    <t>Zeigt die wichtigsten Abläufe, wenig detailliert.</t>
  </si>
  <si>
    <t>Die Grobstruktur wird abgebildet.</t>
  </si>
  <si>
    <t>Es ist keine Dokumentation vorhanden oder Angaben fehlen.</t>
  </si>
  <si>
    <t>Dokumentation hat einen Mangel, aber das Video zeigt das Programm korrekt.</t>
  </si>
  <si>
    <t>Ist jeden Tag detailliert geschrieben. Erkenntnisse sind aufgeführt.</t>
  </si>
  <si>
    <t>Sporadisch sind Einträge vorhanden oder wenig detailliert.</t>
  </si>
  <si>
    <t>Einträge sind vorhanden und der Nutzen ist ersichtlich.</t>
  </si>
  <si>
    <t>Dokumentation hat einen Mangel, aber die Erklärungen passen zum Skript.</t>
  </si>
  <si>
    <t>Die Dokumentation ist vorhanden aber zu knapp oder unvollständig.</t>
  </si>
  <si>
    <t>Mindestens 3 Ziele sind detailliert und SMART formuliert.</t>
  </si>
  <si>
    <t>Mindestens 2 Ziele sind detailliert und SMART formuliert.</t>
  </si>
  <si>
    <t>1 Ziel ist detailliert und SMART formuliert.</t>
  </si>
  <si>
    <t>Übersichtlich gegliedert, zeigt alle wichtigen Funktionen gemäss Testfällen auf.</t>
  </si>
  <si>
    <t>While- und For-Schleifen sind mit Abbruch und Austiegsbedingungen programmiert.</t>
  </si>
  <si>
    <t>Verzweigung und Auswahl</t>
  </si>
  <si>
    <t>Eine Schleife mit 2 Bedingungen ist programmiert.</t>
  </si>
  <si>
    <t>Die Verarbeitung und Ausgabe zeigen einen brauchbaren Nutzen.</t>
  </si>
  <si>
    <t>Die Doku und Demo des Programms sind knapp genügend. Kein Video.</t>
  </si>
  <si>
    <t>1.1</t>
  </si>
  <si>
    <t>1.2</t>
  </si>
  <si>
    <t>1.3</t>
  </si>
  <si>
    <t>1.4</t>
  </si>
  <si>
    <t>1.5</t>
  </si>
  <si>
    <t>2. Ablaufdiagramm</t>
  </si>
  <si>
    <t>2.1</t>
  </si>
  <si>
    <t>3.1</t>
  </si>
  <si>
    <t>3.2</t>
  </si>
  <si>
    <t>3.3</t>
  </si>
  <si>
    <t>3.4</t>
  </si>
  <si>
    <t>3.5</t>
  </si>
  <si>
    <t>4. Integration und Sicherheit</t>
  </si>
  <si>
    <t>4.1</t>
  </si>
  <si>
    <t>5.1</t>
  </si>
  <si>
    <t>5.2</t>
  </si>
  <si>
    <t>6.1</t>
  </si>
  <si>
    <t>Nachname Vorname / Klasse / Team</t>
  </si>
  <si>
    <t>6.2</t>
  </si>
  <si>
    <t>2.2</t>
  </si>
  <si>
    <t>Kontrollstrukturen</t>
  </si>
  <si>
    <t>1. Ziele und Anforderungen</t>
  </si>
  <si>
    <t>3. Skript/Programm (Realisierung)</t>
  </si>
  <si>
    <t>5. Usecases und Testfälle</t>
  </si>
  <si>
    <t>6. Präsentation, Dokumentation</t>
  </si>
  <si>
    <t>7. Reflexion</t>
  </si>
  <si>
    <t>7.1</t>
  </si>
  <si>
    <t>7.2</t>
  </si>
  <si>
    <t>7.3</t>
  </si>
  <si>
    <t>Der Kandidat kann die Fragen zum Skript nicht korrekt beantworten.</t>
  </si>
  <si>
    <t>Die Beantwortung der Fragestellung lässt einen zentralen Aspekt ganz ausser Acht oder ist bezüglich des überwiegenden Teils der zentralen Aspekte nicht hinreichend differenziert. Viele Aussagen sind nicht - wo notwendig - mit Beispielen oder logischen Schlussfolgerungen belegt. Der Kandidat gibt häufig falsche oder unpräzise Antworten.</t>
  </si>
  <si>
    <t>Die Beantwortung der Fragestellung behandelt alle Aspekte professionell in differenzierter Weise. Alle getätigten Aussagen sind - wo notwendig - mit Beispielen oder logischen Schlussfolgerungen belegt. Die Antworten sind fachlich kompetent und korrekt. Der Kandidat kann auch zu Details präzise Auskunft geben.</t>
  </si>
  <si>
    <t>Die Beantwortung der Fragestellung lässt einen oder mehrere nebensächl. Aspekte ausser Acht, oder ein zentraler Aspekt ist nicht hinreichend differenziert. Die meisten Aussagen sind - wo notwendig - mit Beispielen oder logischen Schlussfolgerungen belegt. Der Kandidat gibt meist korrekte Antworten, kann zu Details meist präzise
Auskunft geben.</t>
  </si>
  <si>
    <t>Individuelles Fachgespräch über das Skript: Aufbau, Funktion, Struktur, Verhalten bei Fehlern, Benutzung und Wartung.</t>
  </si>
  <si>
    <t>Usecase(s)</t>
  </si>
  <si>
    <t>Test der Lösung (Planung und Ausführung)</t>
  </si>
  <si>
    <t>1. Mind. ein Usecase enthält die Randbedingungen (Umfeld)
2. ein Testszenario mit aussagekräftigen Daten
3. die erwarteten Resultate
4. und einen Beweis der Durchführung (Demo, Video, Screenshot).</t>
  </si>
  <si>
    <t>Drei der Aspekte sind gut erfüllt.</t>
  </si>
  <si>
    <t>Weniger als 2 der Aspekte sind gut erfüllt.</t>
  </si>
  <si>
    <t>Zwei der Aspekte sind gut erfüllt oder die Lösung wurde ohne Testkonzept überprüft.</t>
  </si>
  <si>
    <t>M122-LB1 Kompetenz- und Bewertungsraster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</si>
</sst>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.0_ ;_ * \-#,##0.0_ ;_ * &quot;-&quot;??_ ;_ @_ "/>
  </numFmts>
  <fonts count="14" x14ac:knownFonts="1">
    <font>
      <sz val="10"/>
      <color theme="1"/>
      <name val="Source Sans Pro"/>
      <family val="2"/>
      <scheme val="minor"/>
    </font>
    <font>
      <sz val="11"/>
      <color theme="1"/>
      <name val="Source Sans Pro"/>
      <family val="2"/>
      <scheme val="minor"/>
    </font>
    <font>
      <b/>
      <sz val="11"/>
      <color theme="1"/>
      <name val="Source Sans Pro"/>
      <family val="2"/>
      <scheme val="minor"/>
    </font>
    <font>
      <b/>
      <i/>
      <sz val="11"/>
      <color theme="1"/>
      <name val="Source Sans Pro"/>
      <family val="2"/>
      <scheme val="minor"/>
    </font>
    <font>
      <b/>
      <sz val="10"/>
      <color theme="1"/>
      <name val="Source Sans Pro"/>
      <family val="2"/>
      <scheme val="minor"/>
    </font>
    <font>
      <sz val="10"/>
      <color theme="1"/>
      <name val="Source Sans Pro"/>
      <family val="2"/>
      <scheme val="minor"/>
    </font>
    <font>
      <b/>
      <i/>
      <sz val="11"/>
      <color rgb="FFFF0000"/>
      <name val="Source Sans Pro"/>
      <family val="2"/>
      <scheme val="minor"/>
    </font>
    <font>
      <sz val="10"/>
      <color rgb="FFFF0000"/>
      <name val="Source Sans Pro"/>
      <family val="2"/>
      <scheme val="minor"/>
    </font>
    <font>
      <b/>
      <sz val="11"/>
      <color rgb="FFFF0000"/>
      <name val="Source Sans Pro"/>
      <family val="2"/>
      <scheme val="minor"/>
    </font>
    <font>
      <b/>
      <sz val="11"/>
      <color rgb="FF2E74B5"/>
      <name val="Source Sans Pro"/>
      <family val="2"/>
      <scheme val="minor"/>
    </font>
    <font>
      <b/>
      <sz val="16"/>
      <color rgb="FF2E74B5"/>
      <name val="Dosis"/>
      <scheme val="major"/>
    </font>
    <font>
      <b/>
      <sz val="10"/>
      <color rgb="FF2E74B5"/>
      <name val="Source Sans Pro"/>
      <family val="2"/>
      <scheme val="minor"/>
    </font>
    <font>
      <i/>
      <sz val="11"/>
      <color rgb="FF2E74B5"/>
      <name val="Source Sans Pro"/>
      <family val="2"/>
      <scheme val="minor"/>
    </font>
    <font>
      <sz val="11"/>
      <name val="Source Sans Pro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37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3" borderId="1" xfId="0" applyFill="1" applyBorder="1" applyAlignment="1">
      <alignment vertical="center"/>
    </xf>
    <xf numFmtId="0" fontId="3" fillId="0" borderId="5" xfId="0" applyFont="1" applyBorder="1"/>
    <xf numFmtId="0" fontId="0" fillId="0" borderId="5" xfId="0" applyBorder="1"/>
    <xf numFmtId="0" fontId="4" fillId="4" borderId="0" xfId="0" applyFont="1" applyFill="1" applyAlignment="1">
      <alignment vertical="center"/>
    </xf>
    <xf numFmtId="0" fontId="7" fillId="0" borderId="0" xfId="0" applyFont="1"/>
    <xf numFmtId="0" fontId="8" fillId="3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7" fillId="0" borderId="5" xfId="0" applyFont="1" applyBorder="1" applyAlignment="1">
      <alignment horizontal="center"/>
    </xf>
    <xf numFmtId="0" fontId="9" fillId="0" borderId="0" xfId="0" applyFont="1"/>
    <xf numFmtId="0" fontId="10" fillId="0" borderId="0" xfId="0" applyFont="1"/>
    <xf numFmtId="0" fontId="11" fillId="4" borderId="0" xfId="0" applyFont="1" applyFill="1" applyAlignment="1">
      <alignment vertical="center"/>
    </xf>
    <xf numFmtId="0" fontId="12" fillId="0" borderId="5" xfId="0" applyFont="1" applyBorder="1"/>
    <xf numFmtId="0" fontId="11" fillId="2" borderId="1" xfId="0" applyFont="1" applyFill="1" applyBorder="1"/>
    <xf numFmtId="0" fontId="11" fillId="0" borderId="0" xfId="0" applyFont="1"/>
    <xf numFmtId="0" fontId="13" fillId="3" borderId="1" xfId="0" quotePrefix="1" applyFont="1" applyFill="1" applyBorder="1" applyAlignment="1">
      <alignment horizontal="center" vertical="center"/>
    </xf>
    <xf numFmtId="0" fontId="0" fillId="2" borderId="1" xfId="0" applyFill="1" applyBorder="1" applyAlignment="1">
      <alignment vertical="top" wrapText="1"/>
    </xf>
    <xf numFmtId="0" fontId="11" fillId="2" borderId="1" xfId="0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top"/>
    </xf>
    <xf numFmtId="0" fontId="0" fillId="3" borderId="1" xfId="0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13" fillId="3" borderId="6" xfId="0" applyFont="1" applyFill="1" applyBorder="1" applyAlignment="1">
      <alignment horizontal="left" vertical="center"/>
    </xf>
    <xf numFmtId="0" fontId="13" fillId="3" borderId="7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164" fontId="4" fillId="4" borderId="0" xfId="1" applyNumberFormat="1" applyFont="1" applyFill="1" applyAlignment="1">
      <alignment horizontal="right" vertical="center"/>
    </xf>
    <xf numFmtId="0" fontId="13" fillId="3" borderId="6" xfId="0" applyFont="1" applyFill="1" applyBorder="1" applyAlignment="1">
      <alignment horizontal="left" vertical="center" wrapText="1"/>
    </xf>
    <xf numFmtId="0" fontId="13" fillId="3" borderId="7" xfId="0" applyFont="1" applyFill="1" applyBorder="1" applyAlignment="1">
      <alignment horizontal="left" vertical="center" wrapText="1"/>
    </xf>
    <xf numFmtId="164" fontId="5" fillId="4" borderId="0" xfId="1" applyNumberFormat="1" applyFont="1" applyFill="1" applyAlignment="1">
      <alignment horizontal="right" vertical="center"/>
    </xf>
  </cellXfs>
  <cellStyles count="2">
    <cellStyle name="Komma" xfId="1" builtinId="3"/>
    <cellStyle name="Standard" xfId="0" builtinId="0" customBuiltin="1"/>
  </cellStyles>
  <dxfs count="0"/>
  <tableStyles count="0" defaultTableStyle="TableStyleMedium2" defaultPivotStyle="PivotStyleLight16"/>
  <colors>
    <mruColors>
      <color rgb="FF2E74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martlearn">
  <a:themeElements>
    <a:clrScheme name="smartlearn">
      <a:dk1>
        <a:sysClr val="windowText" lastClr="000000"/>
      </a:dk1>
      <a:lt1>
        <a:sysClr val="window" lastClr="FFFFFF"/>
      </a:lt1>
      <a:dk2>
        <a:srgbClr val="333333"/>
      </a:dk2>
      <a:lt2>
        <a:srgbClr val="EEEEEE"/>
      </a:lt2>
      <a:accent1>
        <a:srgbClr val="812E90"/>
      </a:accent1>
      <a:accent2>
        <a:srgbClr val="C40B64"/>
      </a:accent2>
      <a:accent3>
        <a:srgbClr val="07A1E2"/>
      </a:accent3>
      <a:accent4>
        <a:srgbClr val="E5C437"/>
      </a:accent4>
      <a:accent5>
        <a:srgbClr val="C62742"/>
      </a:accent5>
      <a:accent6>
        <a:srgbClr val="7AB658"/>
      </a:accent6>
      <a:hlink>
        <a:srgbClr val="812E90"/>
      </a:hlink>
      <a:folHlink>
        <a:srgbClr val="812E90"/>
      </a:folHlink>
    </a:clrScheme>
    <a:fontScheme name="smartlearn">
      <a:majorFont>
        <a:latin typeface="Dosis"/>
        <a:ea typeface=""/>
        <a:cs typeface=""/>
      </a:majorFont>
      <a:minorFont>
        <a:latin typeface="Source Sans Pro"/>
        <a:ea typeface=""/>
        <a:cs typeface=""/>
      </a:minorFont>
    </a:fontScheme>
    <a:fmtScheme name="Subtile Körper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2700" h="25400" prst="coolSlan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martlearn" id="{B39053EF-A4BA-417B-B79D-72BBB7DED78E}" vid="{CB7200ED-C02F-4C64-B165-57250CE920DD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7F05F-D931-4BFD-A1B0-FD3DE3F8C7A8}">
  <sheetPr codeName="Tabelle4">
    <pageSetUpPr fitToPage="1"/>
  </sheetPr>
  <dimension ref="A1:F133"/>
  <sheetViews>
    <sheetView tabSelected="1" topLeftCell="A102" zoomScale="145" zoomScaleNormal="145" workbookViewId="0">
      <selection activeCell="C43" sqref="C43"/>
    </sheetView>
  </sheetViews>
  <sheetFormatPr baseColWidth="10" defaultRowHeight="13" outlineLevelRow="1" x14ac:dyDescent="0.2"/>
  <cols>
    <col min="1" max="1" width="4.19921875" style="17" customWidth="1"/>
    <col min="2" max="2" width="4" customWidth="1"/>
    <col min="3" max="3" width="65" customWidth="1"/>
    <col min="4" max="4" width="28.3984375" customWidth="1"/>
    <col min="5" max="5" width="3.3984375" style="7" customWidth="1"/>
    <col min="6" max="6" width="5" customWidth="1"/>
  </cols>
  <sheetData>
    <row r="1" spans="1:6" ht="23" x14ac:dyDescent="0.35">
      <c r="A1" s="13" t="s">
        <v>116</v>
      </c>
    </row>
    <row r="2" spans="1:6" ht="22.5" customHeight="1" x14ac:dyDescent="0.2">
      <c r="A2" s="15" t="s">
        <v>93</v>
      </c>
      <c r="B2" s="5"/>
      <c r="C2" s="4"/>
      <c r="D2" s="26" t="str">
        <f>"Note: "&amp;TEXT(E133,"0.0")</f>
        <v>Note: 1.0</v>
      </c>
      <c r="E2" s="26"/>
      <c r="F2" s="26"/>
    </row>
    <row r="3" spans="1:6" ht="8.25" customHeight="1" x14ac:dyDescent="0.2"/>
    <row r="4" spans="1:6" ht="15" x14ac:dyDescent="0.2">
      <c r="A4" s="12" t="s">
        <v>97</v>
      </c>
      <c r="E4" s="27">
        <f>SUM(F5:F33)</f>
        <v>0</v>
      </c>
      <c r="F4" s="27"/>
    </row>
    <row r="5" spans="1:6" ht="15" outlineLevel="1" x14ac:dyDescent="0.2">
      <c r="A5" s="18" t="s">
        <v>76</v>
      </c>
      <c r="B5" s="28" t="s">
        <v>1</v>
      </c>
      <c r="C5" s="29"/>
      <c r="D5" s="10" t="s">
        <v>0</v>
      </c>
      <c r="E5" s="8"/>
      <c r="F5" s="25" t="s">
        <v>23</v>
      </c>
    </row>
    <row r="6" spans="1:6" ht="13.5" customHeight="1" outlineLevel="1" x14ac:dyDescent="0.2">
      <c r="A6" s="16"/>
      <c r="B6" s="1">
        <v>3</v>
      </c>
      <c r="C6" s="2" t="s">
        <v>24</v>
      </c>
      <c r="D6" s="2"/>
      <c r="E6" s="9"/>
      <c r="F6" s="30">
        <f>IFERROR(INDEX(B6:B9,MATCH("x",E6:E9,0)),0)</f>
        <v>0</v>
      </c>
    </row>
    <row r="7" spans="1:6" ht="13.5" customHeight="1" outlineLevel="1" x14ac:dyDescent="0.2">
      <c r="A7" s="16"/>
      <c r="B7" s="1">
        <v>2</v>
      </c>
      <c r="C7" s="2" t="s">
        <v>25</v>
      </c>
      <c r="D7" s="2"/>
      <c r="E7" s="9"/>
      <c r="F7" s="31"/>
    </row>
    <row r="8" spans="1:6" ht="13.5" customHeight="1" outlineLevel="1" x14ac:dyDescent="0.2">
      <c r="A8" s="16"/>
      <c r="B8" s="1">
        <v>1</v>
      </c>
      <c r="C8" s="2" t="s">
        <v>26</v>
      </c>
      <c r="D8" s="2"/>
      <c r="E8" s="9"/>
      <c r="F8" s="31"/>
    </row>
    <row r="9" spans="1:6" ht="13.5" customHeight="1" outlineLevel="1" x14ac:dyDescent="0.2">
      <c r="A9" s="16"/>
      <c r="B9" s="1">
        <v>0</v>
      </c>
      <c r="C9" s="2" t="s">
        <v>27</v>
      </c>
      <c r="D9" s="2"/>
      <c r="E9" s="9"/>
      <c r="F9" s="32"/>
    </row>
    <row r="10" spans="1:6" outlineLevel="1" x14ac:dyDescent="0.2"/>
    <row r="11" spans="1:6" ht="15" outlineLevel="1" x14ac:dyDescent="0.2">
      <c r="A11" s="18" t="s">
        <v>77</v>
      </c>
      <c r="B11" s="28" t="s">
        <v>2</v>
      </c>
      <c r="C11" s="29"/>
      <c r="D11" s="10"/>
      <c r="E11" s="8"/>
      <c r="F11" s="25" t="s">
        <v>23</v>
      </c>
    </row>
    <row r="12" spans="1:6" ht="13.5" customHeight="1" outlineLevel="1" x14ac:dyDescent="0.2">
      <c r="A12" s="16"/>
      <c r="B12" s="1">
        <v>3</v>
      </c>
      <c r="C12" s="2" t="s">
        <v>67</v>
      </c>
      <c r="D12" s="2"/>
      <c r="E12" s="9"/>
      <c r="F12" s="30">
        <f>IFERROR(INDEX(B12:B15,MATCH("x",E12:E15,0)),0)</f>
        <v>0</v>
      </c>
    </row>
    <row r="13" spans="1:6" ht="13.5" customHeight="1" outlineLevel="1" x14ac:dyDescent="0.2">
      <c r="A13" s="16"/>
      <c r="B13" s="1">
        <v>2</v>
      </c>
      <c r="C13" s="2" t="s">
        <v>68</v>
      </c>
      <c r="D13" s="2"/>
      <c r="E13" s="9"/>
      <c r="F13" s="31"/>
    </row>
    <row r="14" spans="1:6" ht="13.5" customHeight="1" outlineLevel="1" x14ac:dyDescent="0.2">
      <c r="A14" s="16"/>
      <c r="B14" s="1">
        <v>1</v>
      </c>
      <c r="C14" s="2" t="s">
        <v>69</v>
      </c>
      <c r="D14" s="2"/>
      <c r="E14" s="9"/>
      <c r="F14" s="31"/>
    </row>
    <row r="15" spans="1:6" ht="13.5" customHeight="1" outlineLevel="1" x14ac:dyDescent="0.2">
      <c r="A15" s="16"/>
      <c r="B15" s="1">
        <v>0</v>
      </c>
      <c r="C15" s="2" t="s">
        <v>3</v>
      </c>
      <c r="D15" s="2"/>
      <c r="E15" s="9"/>
      <c r="F15" s="32"/>
    </row>
    <row r="16" spans="1:6" outlineLevel="1" x14ac:dyDescent="0.2"/>
    <row r="17" spans="1:6" ht="15" outlineLevel="1" x14ac:dyDescent="0.2">
      <c r="A17" s="18" t="s">
        <v>78</v>
      </c>
      <c r="B17" s="28" t="s">
        <v>4</v>
      </c>
      <c r="C17" s="29"/>
      <c r="D17" s="10"/>
      <c r="E17" s="8"/>
      <c r="F17" s="25" t="s">
        <v>23</v>
      </c>
    </row>
    <row r="18" spans="1:6" ht="13.5" customHeight="1" outlineLevel="1" x14ac:dyDescent="0.2">
      <c r="A18" s="16"/>
      <c r="B18" s="1">
        <v>3</v>
      </c>
      <c r="C18" s="2" t="s">
        <v>28</v>
      </c>
      <c r="D18" s="2"/>
      <c r="E18" s="9"/>
      <c r="F18" s="30">
        <f>IFERROR(INDEX(B18:B21,MATCH("x",E18:E21,0)),0)</f>
        <v>0</v>
      </c>
    </row>
    <row r="19" spans="1:6" ht="13.5" customHeight="1" outlineLevel="1" x14ac:dyDescent="0.2">
      <c r="A19" s="16"/>
      <c r="B19" s="1">
        <v>2</v>
      </c>
      <c r="C19" s="2" t="s">
        <v>29</v>
      </c>
      <c r="D19" s="2"/>
      <c r="E19" s="9"/>
      <c r="F19" s="31"/>
    </row>
    <row r="20" spans="1:6" ht="13.5" customHeight="1" outlineLevel="1" x14ac:dyDescent="0.2">
      <c r="A20" s="16"/>
      <c r="B20" s="1">
        <v>1</v>
      </c>
      <c r="C20" s="2" t="s">
        <v>30</v>
      </c>
      <c r="D20" s="2"/>
      <c r="E20" s="9"/>
      <c r="F20" s="31"/>
    </row>
    <row r="21" spans="1:6" ht="13.5" customHeight="1" outlineLevel="1" x14ac:dyDescent="0.2">
      <c r="A21" s="16"/>
      <c r="B21" s="1">
        <v>0</v>
      </c>
      <c r="C21" s="2" t="s">
        <v>27</v>
      </c>
      <c r="D21" s="2"/>
      <c r="E21" s="9"/>
      <c r="F21" s="32"/>
    </row>
    <row r="22" spans="1:6" outlineLevel="1" x14ac:dyDescent="0.2"/>
    <row r="23" spans="1:6" ht="15" outlineLevel="1" x14ac:dyDescent="0.2">
      <c r="A23" s="18" t="s">
        <v>79</v>
      </c>
      <c r="B23" s="28" t="s">
        <v>5</v>
      </c>
      <c r="C23" s="29"/>
      <c r="D23" s="10"/>
      <c r="E23" s="8"/>
      <c r="F23" s="25" t="s">
        <v>23</v>
      </c>
    </row>
    <row r="24" spans="1:6" ht="13.5" customHeight="1" outlineLevel="1" x14ac:dyDescent="0.2">
      <c r="A24" s="16"/>
      <c r="B24" s="1">
        <v>3</v>
      </c>
      <c r="C24" s="2" t="s">
        <v>31</v>
      </c>
      <c r="D24" s="2"/>
      <c r="E24" s="9"/>
      <c r="F24" s="30">
        <f>IFERROR(INDEX(B24:B27,MATCH("x",E24:E27,0)),0)</f>
        <v>0</v>
      </c>
    </row>
    <row r="25" spans="1:6" ht="13.5" customHeight="1" outlineLevel="1" x14ac:dyDescent="0.2">
      <c r="A25" s="16"/>
      <c r="B25" s="1">
        <v>2</v>
      </c>
      <c r="C25" s="2" t="s">
        <v>32</v>
      </c>
      <c r="D25" s="2"/>
      <c r="E25" s="9"/>
      <c r="F25" s="31"/>
    </row>
    <row r="26" spans="1:6" ht="13.5" customHeight="1" outlineLevel="1" x14ac:dyDescent="0.2">
      <c r="A26" s="16"/>
      <c r="B26" s="1">
        <v>1</v>
      </c>
      <c r="C26" s="2" t="s">
        <v>33</v>
      </c>
      <c r="D26" s="2"/>
      <c r="E26" s="9"/>
      <c r="F26" s="31"/>
    </row>
    <row r="27" spans="1:6" ht="13.5" customHeight="1" outlineLevel="1" x14ac:dyDescent="0.2">
      <c r="A27" s="16"/>
      <c r="B27" s="1">
        <v>0</v>
      </c>
      <c r="C27" s="2" t="s">
        <v>27</v>
      </c>
      <c r="D27" s="2"/>
      <c r="E27" s="9"/>
      <c r="F27" s="32"/>
    </row>
    <row r="28" spans="1:6" outlineLevel="1" x14ac:dyDescent="0.2"/>
    <row r="29" spans="1:6" ht="15" outlineLevel="1" x14ac:dyDescent="0.2">
      <c r="A29" s="18" t="s">
        <v>80</v>
      </c>
      <c r="B29" s="28" t="s">
        <v>6</v>
      </c>
      <c r="C29" s="29"/>
      <c r="D29" s="10"/>
      <c r="E29" s="8"/>
      <c r="F29" s="25" t="s">
        <v>23</v>
      </c>
    </row>
    <row r="30" spans="1:6" ht="13.5" customHeight="1" outlineLevel="1" x14ac:dyDescent="0.2">
      <c r="A30" s="16"/>
      <c r="B30" s="1">
        <v>3</v>
      </c>
      <c r="C30" s="2" t="s">
        <v>34</v>
      </c>
      <c r="D30" s="2"/>
      <c r="E30" s="9"/>
      <c r="F30" s="30">
        <f>IFERROR(INDEX(B30:B33,MATCH("x",E30:E33,0)),0)</f>
        <v>0</v>
      </c>
    </row>
    <row r="31" spans="1:6" ht="13.5" customHeight="1" outlineLevel="1" x14ac:dyDescent="0.2">
      <c r="A31" s="16"/>
      <c r="B31" s="1">
        <v>2</v>
      </c>
      <c r="C31" s="2" t="s">
        <v>35</v>
      </c>
      <c r="D31" s="2"/>
      <c r="E31" s="9"/>
      <c r="F31" s="31"/>
    </row>
    <row r="32" spans="1:6" ht="13.5" customHeight="1" outlineLevel="1" x14ac:dyDescent="0.2">
      <c r="A32" s="16"/>
      <c r="B32" s="1">
        <v>1</v>
      </c>
      <c r="C32" s="2" t="s">
        <v>36</v>
      </c>
      <c r="D32" s="2"/>
      <c r="E32" s="9"/>
      <c r="F32" s="31"/>
    </row>
    <row r="33" spans="1:6" ht="13.5" customHeight="1" outlineLevel="1" x14ac:dyDescent="0.2">
      <c r="A33" s="16"/>
      <c r="B33" s="1">
        <v>0</v>
      </c>
      <c r="C33" s="2" t="s">
        <v>27</v>
      </c>
      <c r="D33" s="2"/>
      <c r="E33" s="9"/>
      <c r="F33" s="32"/>
    </row>
    <row r="34" spans="1:6" outlineLevel="1" x14ac:dyDescent="0.2"/>
    <row r="35" spans="1:6" ht="15" x14ac:dyDescent="0.2">
      <c r="A35" s="12" t="s">
        <v>81</v>
      </c>
      <c r="E35" s="27">
        <f>SUM(F36:F46)</f>
        <v>0</v>
      </c>
      <c r="F35" s="27"/>
    </row>
    <row r="36" spans="1:6" ht="15" outlineLevel="1" x14ac:dyDescent="0.2">
      <c r="A36" s="18" t="s">
        <v>82</v>
      </c>
      <c r="B36" s="28" t="s">
        <v>7</v>
      </c>
      <c r="C36" s="29"/>
      <c r="D36" s="10"/>
      <c r="E36" s="8"/>
      <c r="F36" s="25" t="s">
        <v>23</v>
      </c>
    </row>
    <row r="37" spans="1:6" ht="13.5" customHeight="1" outlineLevel="1" x14ac:dyDescent="0.2">
      <c r="A37" s="16"/>
      <c r="B37" s="1">
        <v>3</v>
      </c>
      <c r="C37" s="2" t="s">
        <v>57</v>
      </c>
      <c r="D37" s="2"/>
      <c r="E37" s="9"/>
      <c r="F37" s="30">
        <f>IFERROR(INDEX(B37:B40,MATCH("x",E37:E40,0)),0)</f>
        <v>0</v>
      </c>
    </row>
    <row r="38" spans="1:6" ht="13.5" customHeight="1" outlineLevel="1" x14ac:dyDescent="0.2">
      <c r="A38" s="16"/>
      <c r="B38" s="1">
        <v>2</v>
      </c>
      <c r="C38" s="2" t="s">
        <v>58</v>
      </c>
      <c r="D38" s="2"/>
      <c r="E38" s="9"/>
      <c r="F38" s="31"/>
    </row>
    <row r="39" spans="1:6" ht="13.5" customHeight="1" outlineLevel="1" x14ac:dyDescent="0.2">
      <c r="A39" s="16"/>
      <c r="B39" s="1">
        <v>1</v>
      </c>
      <c r="C39" s="2" t="s">
        <v>59</v>
      </c>
      <c r="D39" s="2"/>
      <c r="E39" s="9"/>
      <c r="F39" s="31"/>
    </row>
    <row r="40" spans="1:6" ht="13.5" customHeight="1" outlineLevel="1" x14ac:dyDescent="0.2">
      <c r="A40" s="16"/>
      <c r="B40" s="1">
        <v>0</v>
      </c>
      <c r="C40" s="2" t="s">
        <v>27</v>
      </c>
      <c r="D40" s="2"/>
      <c r="E40" s="9"/>
      <c r="F40" s="32"/>
    </row>
    <row r="41" spans="1:6" ht="15" outlineLevel="1" collapsed="1" x14ac:dyDescent="0.2">
      <c r="A41" s="12"/>
      <c r="E41" s="11"/>
      <c r="F41" s="11"/>
    </row>
    <row r="42" spans="1:6" ht="15" outlineLevel="1" x14ac:dyDescent="0.2">
      <c r="A42" s="18" t="s">
        <v>95</v>
      </c>
      <c r="B42" s="28" t="s">
        <v>96</v>
      </c>
      <c r="C42" s="29"/>
      <c r="D42" s="10"/>
      <c r="E42" s="8"/>
      <c r="F42" s="25" t="s">
        <v>23</v>
      </c>
    </row>
    <row r="43" spans="1:6" ht="13.5" customHeight="1" outlineLevel="1" x14ac:dyDescent="0.2">
      <c r="A43" s="16"/>
      <c r="B43" s="1">
        <v>3</v>
      </c>
      <c r="C43" s="2" t="s">
        <v>57</v>
      </c>
      <c r="D43" s="2"/>
      <c r="E43" s="9"/>
      <c r="F43" s="30">
        <f>IFERROR(INDEX(B43:B46,MATCH("x",E43:E46,0)),0)</f>
        <v>0</v>
      </c>
    </row>
    <row r="44" spans="1:6" ht="13.5" customHeight="1" outlineLevel="1" x14ac:dyDescent="0.2">
      <c r="A44" s="16"/>
      <c r="B44" s="1">
        <v>2</v>
      </c>
      <c r="C44" s="2" t="s">
        <v>58</v>
      </c>
      <c r="D44" s="2"/>
      <c r="E44" s="9"/>
      <c r="F44" s="31"/>
    </row>
    <row r="45" spans="1:6" ht="13.5" customHeight="1" outlineLevel="1" x14ac:dyDescent="0.2">
      <c r="A45" s="16"/>
      <c r="B45" s="1">
        <v>1</v>
      </c>
      <c r="C45" s="2" t="s">
        <v>59</v>
      </c>
      <c r="D45" s="2"/>
      <c r="E45" s="9"/>
      <c r="F45" s="31"/>
    </row>
    <row r="46" spans="1:6" ht="13.5" customHeight="1" outlineLevel="1" x14ac:dyDescent="0.2">
      <c r="A46" s="16"/>
      <c r="B46" s="1">
        <v>0</v>
      </c>
      <c r="C46" s="2" t="s">
        <v>27</v>
      </c>
      <c r="D46" s="2"/>
      <c r="E46" s="9"/>
      <c r="F46" s="32"/>
    </row>
    <row r="47" spans="1:6" outlineLevel="1" x14ac:dyDescent="0.2"/>
    <row r="48" spans="1:6" ht="15" x14ac:dyDescent="0.2">
      <c r="A48" s="12" t="s">
        <v>98</v>
      </c>
      <c r="E48" s="27">
        <f>SUM(F49:F77)</f>
        <v>0</v>
      </c>
      <c r="F48" s="27"/>
    </row>
    <row r="49" spans="1:6" ht="15" outlineLevel="1" x14ac:dyDescent="0.2">
      <c r="A49" s="18" t="s">
        <v>83</v>
      </c>
      <c r="B49" s="28" t="s">
        <v>8</v>
      </c>
      <c r="C49" s="29"/>
      <c r="D49" s="10"/>
      <c r="E49" s="8"/>
      <c r="F49" s="25" t="s">
        <v>23</v>
      </c>
    </row>
    <row r="50" spans="1:6" ht="13.5" customHeight="1" outlineLevel="1" x14ac:dyDescent="0.2">
      <c r="A50" s="16"/>
      <c r="B50" s="1">
        <v>3</v>
      </c>
      <c r="C50" s="2" t="s">
        <v>37</v>
      </c>
      <c r="D50" s="2"/>
      <c r="E50" s="9"/>
      <c r="F50" s="30">
        <f>IFERROR(INDEX(B50:B53,MATCH("x",E50:E53,0)),0)</f>
        <v>0</v>
      </c>
    </row>
    <row r="51" spans="1:6" ht="13.5" customHeight="1" outlineLevel="1" x14ac:dyDescent="0.2">
      <c r="A51" s="16"/>
      <c r="B51" s="1">
        <v>2</v>
      </c>
      <c r="C51" s="2" t="s">
        <v>39</v>
      </c>
      <c r="D51" s="2"/>
      <c r="E51" s="9"/>
      <c r="F51" s="31"/>
    </row>
    <row r="52" spans="1:6" ht="13.5" customHeight="1" outlineLevel="1" x14ac:dyDescent="0.2">
      <c r="A52" s="16"/>
      <c r="B52" s="1">
        <v>1</v>
      </c>
      <c r="C52" s="2" t="s">
        <v>38</v>
      </c>
      <c r="D52" s="2"/>
      <c r="E52" s="9"/>
      <c r="F52" s="31"/>
    </row>
    <row r="53" spans="1:6" ht="13.5" customHeight="1" outlineLevel="1" x14ac:dyDescent="0.2">
      <c r="A53" s="16"/>
      <c r="B53" s="1">
        <v>0</v>
      </c>
      <c r="C53" s="2" t="s">
        <v>27</v>
      </c>
      <c r="D53" s="2"/>
      <c r="E53" s="9"/>
      <c r="F53" s="32"/>
    </row>
    <row r="54" spans="1:6" outlineLevel="1" x14ac:dyDescent="0.2"/>
    <row r="55" spans="1:6" ht="15" outlineLevel="1" x14ac:dyDescent="0.2">
      <c r="A55" s="18" t="s">
        <v>84</v>
      </c>
      <c r="B55" s="28" t="s">
        <v>9</v>
      </c>
      <c r="C55" s="29"/>
      <c r="D55" s="10"/>
      <c r="E55" s="8"/>
      <c r="F55" s="25" t="s">
        <v>23</v>
      </c>
    </row>
    <row r="56" spans="1:6" ht="13.5" customHeight="1" outlineLevel="1" x14ac:dyDescent="0.2">
      <c r="A56" s="16"/>
      <c r="B56" s="1">
        <v>3</v>
      </c>
      <c r="C56" s="2" t="s">
        <v>40</v>
      </c>
      <c r="D56" s="2"/>
      <c r="E56" s="9"/>
      <c r="F56" s="30">
        <f>IFERROR(INDEX(B56:B59,MATCH("x",E56:E59,0)),0)</f>
        <v>0</v>
      </c>
    </row>
    <row r="57" spans="1:6" ht="13.5" customHeight="1" outlineLevel="1" x14ac:dyDescent="0.2">
      <c r="A57" s="16"/>
      <c r="B57" s="1">
        <v>2</v>
      </c>
      <c r="C57" s="2" t="s">
        <v>41</v>
      </c>
      <c r="D57" s="2"/>
      <c r="E57" s="9"/>
      <c r="F57" s="31"/>
    </row>
    <row r="58" spans="1:6" ht="13.5" customHeight="1" outlineLevel="1" x14ac:dyDescent="0.2">
      <c r="A58" s="16"/>
      <c r="B58" s="1">
        <v>1</v>
      </c>
      <c r="C58" s="2" t="s">
        <v>42</v>
      </c>
      <c r="D58" s="2"/>
      <c r="E58" s="9"/>
      <c r="F58" s="31"/>
    </row>
    <row r="59" spans="1:6" ht="13.5" customHeight="1" outlineLevel="1" x14ac:dyDescent="0.2">
      <c r="A59" s="16"/>
      <c r="B59" s="1">
        <v>0</v>
      </c>
      <c r="C59" s="2" t="s">
        <v>27</v>
      </c>
      <c r="D59" s="2"/>
      <c r="E59" s="9"/>
      <c r="F59" s="32"/>
    </row>
    <row r="60" spans="1:6" outlineLevel="1" x14ac:dyDescent="0.2"/>
    <row r="61" spans="1:6" ht="15" outlineLevel="1" x14ac:dyDescent="0.2">
      <c r="A61" s="18" t="s">
        <v>85</v>
      </c>
      <c r="B61" s="28" t="s">
        <v>72</v>
      </c>
      <c r="C61" s="29"/>
      <c r="D61" s="10"/>
      <c r="E61" s="8"/>
      <c r="F61" s="25" t="s">
        <v>23</v>
      </c>
    </row>
    <row r="62" spans="1:6" ht="13.5" customHeight="1" outlineLevel="1" x14ac:dyDescent="0.2">
      <c r="A62" s="16"/>
      <c r="B62" s="1">
        <v>3</v>
      </c>
      <c r="C62" s="2" t="s">
        <v>20</v>
      </c>
      <c r="D62" s="2"/>
      <c r="E62" s="9"/>
      <c r="F62" s="30">
        <f>IFERROR(INDEX(B62:B65,MATCH("x",E62:E65,0)),0)</f>
        <v>0</v>
      </c>
    </row>
    <row r="63" spans="1:6" ht="13.5" customHeight="1" outlineLevel="1" x14ac:dyDescent="0.2">
      <c r="A63" s="16"/>
      <c r="B63" s="1">
        <v>2</v>
      </c>
      <c r="C63" s="2" t="s">
        <v>22</v>
      </c>
      <c r="D63" s="2"/>
      <c r="E63" s="9"/>
      <c r="F63" s="31"/>
    </row>
    <row r="64" spans="1:6" ht="13.5" customHeight="1" outlineLevel="1" x14ac:dyDescent="0.2">
      <c r="A64" s="16"/>
      <c r="B64" s="1">
        <v>1</v>
      </c>
      <c r="C64" s="2" t="s">
        <v>21</v>
      </c>
      <c r="D64" s="2"/>
      <c r="E64" s="9"/>
      <c r="F64" s="31"/>
    </row>
    <row r="65" spans="1:6" ht="13.5" customHeight="1" outlineLevel="1" x14ac:dyDescent="0.2">
      <c r="A65" s="16"/>
      <c r="B65" s="1">
        <v>0</v>
      </c>
      <c r="C65" s="2" t="s">
        <v>27</v>
      </c>
      <c r="D65" s="2"/>
      <c r="E65" s="9"/>
      <c r="F65" s="32"/>
    </row>
    <row r="66" spans="1:6" outlineLevel="1" x14ac:dyDescent="0.2"/>
    <row r="67" spans="1:6" ht="15" outlineLevel="1" x14ac:dyDescent="0.2">
      <c r="A67" s="18" t="s">
        <v>86</v>
      </c>
      <c r="B67" s="28" t="s">
        <v>16</v>
      </c>
      <c r="C67" s="29"/>
      <c r="D67" s="10"/>
      <c r="E67" s="8"/>
      <c r="F67" s="3" t="s">
        <v>23</v>
      </c>
    </row>
    <row r="68" spans="1:6" ht="13.5" customHeight="1" outlineLevel="1" x14ac:dyDescent="0.2">
      <c r="A68" s="16"/>
      <c r="B68" s="1">
        <v>3</v>
      </c>
      <c r="C68" s="2" t="s">
        <v>71</v>
      </c>
      <c r="D68" s="2"/>
      <c r="E68" s="9"/>
      <c r="F68" s="30">
        <f>IFERROR(INDEX(B68:B71,MATCH("x",E68:E71,0)),0)</f>
        <v>0</v>
      </c>
    </row>
    <row r="69" spans="1:6" ht="13.5" customHeight="1" outlineLevel="1" x14ac:dyDescent="0.2">
      <c r="A69" s="16"/>
      <c r="B69" s="1">
        <v>2</v>
      </c>
      <c r="C69" s="2" t="s">
        <v>73</v>
      </c>
      <c r="D69" s="2"/>
      <c r="E69" s="9"/>
      <c r="F69" s="31"/>
    </row>
    <row r="70" spans="1:6" ht="13.5" customHeight="1" outlineLevel="1" x14ac:dyDescent="0.2">
      <c r="A70" s="16"/>
      <c r="B70" s="1">
        <v>1</v>
      </c>
      <c r="C70" s="2" t="s">
        <v>43</v>
      </c>
      <c r="D70" s="2"/>
      <c r="E70" s="9"/>
      <c r="F70" s="31"/>
    </row>
    <row r="71" spans="1:6" ht="13.5" customHeight="1" outlineLevel="1" x14ac:dyDescent="0.2">
      <c r="A71" s="16"/>
      <c r="B71" s="1">
        <v>0</v>
      </c>
      <c r="C71" s="2" t="s">
        <v>27</v>
      </c>
      <c r="D71" s="2"/>
      <c r="E71" s="9"/>
      <c r="F71" s="32"/>
    </row>
    <row r="72" spans="1:6" outlineLevel="1" x14ac:dyDescent="0.2"/>
    <row r="73" spans="1:6" ht="15" outlineLevel="1" x14ac:dyDescent="0.2">
      <c r="A73" s="18" t="s">
        <v>87</v>
      </c>
      <c r="B73" s="28" t="s">
        <v>10</v>
      </c>
      <c r="C73" s="29"/>
      <c r="D73" s="10"/>
      <c r="E73" s="8"/>
      <c r="F73" s="25" t="s">
        <v>23</v>
      </c>
    </row>
    <row r="74" spans="1:6" ht="13.5" customHeight="1" outlineLevel="1" x14ac:dyDescent="0.2">
      <c r="A74" s="16"/>
      <c r="B74" s="1">
        <v>3</v>
      </c>
      <c r="C74" s="2" t="s">
        <v>46</v>
      </c>
      <c r="D74" s="2"/>
      <c r="E74" s="9"/>
      <c r="F74" s="30">
        <f>IFERROR(INDEX(B74:B77,MATCH("x",E74:E77,0)),0)</f>
        <v>0</v>
      </c>
    </row>
    <row r="75" spans="1:6" ht="13.5" customHeight="1" outlineLevel="1" x14ac:dyDescent="0.2">
      <c r="A75" s="16"/>
      <c r="B75" s="1">
        <v>2</v>
      </c>
      <c r="C75" s="2" t="s">
        <v>47</v>
      </c>
      <c r="D75" s="2"/>
      <c r="E75" s="9"/>
      <c r="F75" s="31"/>
    </row>
    <row r="76" spans="1:6" ht="13.5" customHeight="1" outlineLevel="1" x14ac:dyDescent="0.2">
      <c r="A76" s="16"/>
      <c r="B76" s="1">
        <v>1</v>
      </c>
      <c r="C76" s="2" t="s">
        <v>44</v>
      </c>
      <c r="D76" s="2"/>
      <c r="E76" s="9"/>
      <c r="F76" s="31"/>
    </row>
    <row r="77" spans="1:6" ht="13.5" customHeight="1" outlineLevel="1" x14ac:dyDescent="0.2">
      <c r="A77" s="16"/>
      <c r="B77" s="1">
        <v>0</v>
      </c>
      <c r="C77" s="2" t="s">
        <v>45</v>
      </c>
      <c r="D77" s="2"/>
      <c r="E77" s="9"/>
      <c r="F77" s="32"/>
    </row>
    <row r="78" spans="1:6" outlineLevel="1" x14ac:dyDescent="0.2"/>
    <row r="79" spans="1:6" ht="15" x14ac:dyDescent="0.2">
      <c r="A79" s="12" t="s">
        <v>88</v>
      </c>
      <c r="E79" s="27">
        <f>SUM(F80:F84)</f>
        <v>0</v>
      </c>
      <c r="F79" s="27"/>
    </row>
    <row r="80" spans="1:6" ht="15" outlineLevel="1" x14ac:dyDescent="0.2">
      <c r="A80" s="18" t="s">
        <v>89</v>
      </c>
      <c r="B80" s="28" t="s">
        <v>11</v>
      </c>
      <c r="C80" s="29"/>
      <c r="D80" s="10"/>
      <c r="E80" s="8"/>
      <c r="F80" s="25" t="s">
        <v>23</v>
      </c>
    </row>
    <row r="81" spans="1:6" outlineLevel="1" x14ac:dyDescent="0.2">
      <c r="A81" s="16"/>
      <c r="B81" s="1">
        <v>3</v>
      </c>
      <c r="C81" s="2" t="s">
        <v>48</v>
      </c>
      <c r="D81" s="2"/>
      <c r="E81" s="9"/>
      <c r="F81" s="30">
        <f t="shared" ref="F81" si="0">IFERROR(4-MATCH("x",E81:E84,0),0)</f>
        <v>0</v>
      </c>
    </row>
    <row r="82" spans="1:6" outlineLevel="1" x14ac:dyDescent="0.2">
      <c r="A82" s="16"/>
      <c r="B82" s="1">
        <v>2</v>
      </c>
      <c r="C82" s="2" t="s">
        <v>49</v>
      </c>
      <c r="D82" s="2"/>
      <c r="E82" s="9"/>
      <c r="F82" s="31"/>
    </row>
    <row r="83" spans="1:6" outlineLevel="1" x14ac:dyDescent="0.2">
      <c r="A83" s="16"/>
      <c r="B83" s="1">
        <v>1</v>
      </c>
      <c r="C83" s="2" t="s">
        <v>50</v>
      </c>
      <c r="D83" s="2"/>
      <c r="E83" s="9"/>
      <c r="F83" s="31"/>
    </row>
    <row r="84" spans="1:6" outlineLevel="1" x14ac:dyDescent="0.2">
      <c r="A84" s="16"/>
      <c r="B84" s="1">
        <v>0</v>
      </c>
      <c r="C84" s="2" t="s">
        <v>27</v>
      </c>
      <c r="D84" s="2"/>
      <c r="E84" s="9"/>
      <c r="F84" s="32"/>
    </row>
    <row r="85" spans="1:6" outlineLevel="1" x14ac:dyDescent="0.2"/>
    <row r="86" spans="1:6" ht="15" x14ac:dyDescent="0.2">
      <c r="A86" s="12" t="s">
        <v>99</v>
      </c>
      <c r="E86" s="27">
        <f>SUM(F87:F97)</f>
        <v>0</v>
      </c>
      <c r="F86" s="27"/>
    </row>
    <row r="87" spans="1:6" ht="15" outlineLevel="1" x14ac:dyDescent="0.2">
      <c r="A87" s="18" t="s">
        <v>90</v>
      </c>
      <c r="B87" s="28" t="s">
        <v>110</v>
      </c>
      <c r="C87" s="29"/>
      <c r="D87" s="10"/>
      <c r="E87" s="8"/>
      <c r="F87" s="25" t="s">
        <v>23</v>
      </c>
    </row>
    <row r="88" spans="1:6" ht="55.5" customHeight="1" outlineLevel="1" x14ac:dyDescent="0.2">
      <c r="A88" s="16"/>
      <c r="B88" s="21">
        <v>3</v>
      </c>
      <c r="C88" s="19" t="s">
        <v>112</v>
      </c>
      <c r="D88" s="2"/>
      <c r="E88" s="9"/>
      <c r="F88" s="30">
        <f>IFERROR(INDEX(B88:B91,MATCH("x",E88:E91,0)),0)</f>
        <v>0</v>
      </c>
    </row>
    <row r="89" spans="1:6" ht="13.5" customHeight="1" outlineLevel="1" x14ac:dyDescent="0.2">
      <c r="A89" s="16"/>
      <c r="B89" s="21">
        <v>2</v>
      </c>
      <c r="C89" s="2" t="s">
        <v>113</v>
      </c>
      <c r="D89" s="2"/>
      <c r="E89" s="9"/>
      <c r="F89" s="31"/>
    </row>
    <row r="90" spans="1:6" ht="13.5" customHeight="1" outlineLevel="1" x14ac:dyDescent="0.2">
      <c r="A90" s="16"/>
      <c r="B90" s="21">
        <v>1</v>
      </c>
      <c r="C90" s="2" t="s">
        <v>115</v>
      </c>
      <c r="D90" s="2"/>
      <c r="E90" s="9"/>
      <c r="F90" s="31"/>
    </row>
    <row r="91" spans="1:6" ht="13.5" customHeight="1" outlineLevel="1" x14ac:dyDescent="0.2">
      <c r="A91" s="16"/>
      <c r="B91" s="21">
        <v>0</v>
      </c>
      <c r="C91" s="2" t="s">
        <v>114</v>
      </c>
      <c r="D91" s="2"/>
      <c r="E91" s="9"/>
      <c r="F91" s="32"/>
    </row>
    <row r="92" spans="1:6" outlineLevel="1" x14ac:dyDescent="0.2"/>
    <row r="93" spans="1:6" ht="15" outlineLevel="1" x14ac:dyDescent="0.2">
      <c r="A93" s="18" t="s">
        <v>91</v>
      </c>
      <c r="B93" s="28" t="s">
        <v>111</v>
      </c>
      <c r="C93" s="29"/>
      <c r="D93" s="10"/>
      <c r="E93" s="8"/>
      <c r="F93" s="25" t="s">
        <v>23</v>
      </c>
    </row>
    <row r="94" spans="1:6" ht="13.5" customHeight="1" outlineLevel="1" x14ac:dyDescent="0.2">
      <c r="A94" s="16"/>
      <c r="B94" s="1">
        <v>3</v>
      </c>
      <c r="C94" s="2" t="s">
        <v>54</v>
      </c>
      <c r="D94" s="2"/>
      <c r="E94" s="9"/>
      <c r="F94" s="30">
        <f>IFERROR(INDEX(B94:B97,MATCH("x",E94:E97,0)),0)</f>
        <v>0</v>
      </c>
    </row>
    <row r="95" spans="1:6" ht="13.5" customHeight="1" outlineLevel="1" x14ac:dyDescent="0.2">
      <c r="A95" s="16"/>
      <c r="B95" s="1">
        <v>2</v>
      </c>
      <c r="C95" s="2" t="s">
        <v>53</v>
      </c>
      <c r="D95" s="2"/>
      <c r="E95" s="9"/>
      <c r="F95" s="31"/>
    </row>
    <row r="96" spans="1:6" ht="13.5" customHeight="1" outlineLevel="1" x14ac:dyDescent="0.2">
      <c r="A96" s="16"/>
      <c r="B96" s="1">
        <v>1</v>
      </c>
      <c r="C96" s="2" t="s">
        <v>51</v>
      </c>
      <c r="D96" s="2"/>
      <c r="E96" s="9"/>
      <c r="F96" s="31"/>
    </row>
    <row r="97" spans="1:6" ht="13.5" customHeight="1" outlineLevel="1" x14ac:dyDescent="0.2">
      <c r="A97" s="16"/>
      <c r="B97" s="1">
        <v>0</v>
      </c>
      <c r="C97" s="2" t="s">
        <v>52</v>
      </c>
      <c r="D97" s="2"/>
      <c r="E97" s="9"/>
      <c r="F97" s="32"/>
    </row>
    <row r="98" spans="1:6" outlineLevel="1" x14ac:dyDescent="0.2"/>
    <row r="99" spans="1:6" ht="15" x14ac:dyDescent="0.2">
      <c r="A99" s="12" t="s">
        <v>100</v>
      </c>
      <c r="E99" s="27">
        <f>SUM(F100:F110)</f>
        <v>0</v>
      </c>
      <c r="F99" s="27"/>
    </row>
    <row r="100" spans="1:6" ht="15" outlineLevel="1" x14ac:dyDescent="0.2">
      <c r="A100" s="18" t="s">
        <v>92</v>
      </c>
      <c r="B100" s="28" t="s">
        <v>13</v>
      </c>
      <c r="C100" s="29"/>
      <c r="D100" s="10"/>
      <c r="E100" s="8"/>
      <c r="F100" s="25" t="s">
        <v>23</v>
      </c>
    </row>
    <row r="101" spans="1:6" outlineLevel="1" x14ac:dyDescent="0.2">
      <c r="A101" s="16"/>
      <c r="B101" s="1">
        <v>3</v>
      </c>
      <c r="C101" s="2" t="s">
        <v>70</v>
      </c>
      <c r="D101" s="2"/>
      <c r="E101" s="9"/>
      <c r="F101" s="30">
        <f>IFERROR(4-MATCH("x",E101:E104,0),0)</f>
        <v>0</v>
      </c>
    </row>
    <row r="102" spans="1:6" outlineLevel="1" x14ac:dyDescent="0.2">
      <c r="A102" s="16"/>
      <c r="B102" s="1">
        <v>2</v>
      </c>
      <c r="C102" s="2" t="s">
        <v>61</v>
      </c>
      <c r="D102" s="2"/>
      <c r="E102" s="9"/>
      <c r="F102" s="31"/>
    </row>
    <row r="103" spans="1:6" outlineLevel="1" x14ac:dyDescent="0.2">
      <c r="A103" s="16"/>
      <c r="B103" s="1">
        <v>1</v>
      </c>
      <c r="C103" s="2" t="s">
        <v>75</v>
      </c>
      <c r="D103" s="2"/>
      <c r="E103" s="9"/>
      <c r="F103" s="31"/>
    </row>
    <row r="104" spans="1:6" outlineLevel="1" x14ac:dyDescent="0.2">
      <c r="A104" s="16"/>
      <c r="B104" s="1">
        <v>0</v>
      </c>
      <c r="C104" s="2" t="s">
        <v>60</v>
      </c>
      <c r="D104" s="2"/>
      <c r="E104" s="9"/>
      <c r="F104" s="32"/>
    </row>
    <row r="105" spans="1:6" outlineLevel="1" x14ac:dyDescent="0.2"/>
    <row r="106" spans="1:6" ht="15" outlineLevel="1" x14ac:dyDescent="0.2">
      <c r="A106" s="18" t="s">
        <v>94</v>
      </c>
      <c r="B106" s="28" t="s">
        <v>14</v>
      </c>
      <c r="C106" s="29"/>
      <c r="D106" s="10"/>
      <c r="E106" s="8"/>
      <c r="F106" s="25" t="s">
        <v>23</v>
      </c>
    </row>
    <row r="107" spans="1:6" ht="13.5" customHeight="1" outlineLevel="1" x14ac:dyDescent="0.2">
      <c r="A107" s="16"/>
      <c r="B107" s="1">
        <v>3</v>
      </c>
      <c r="C107" s="2" t="s">
        <v>70</v>
      </c>
      <c r="D107" s="2"/>
      <c r="E107" s="9"/>
      <c r="F107" s="30">
        <f>IFERROR(INDEX(B107:B110,MATCH("x",E107:E110,0)),0)</f>
        <v>0</v>
      </c>
    </row>
    <row r="108" spans="1:6" ht="13.5" customHeight="1" outlineLevel="1" x14ac:dyDescent="0.2">
      <c r="A108" s="16"/>
      <c r="B108" s="1">
        <v>2</v>
      </c>
      <c r="C108" s="2" t="s">
        <v>65</v>
      </c>
      <c r="D108" s="2"/>
      <c r="E108" s="9"/>
      <c r="F108" s="31"/>
    </row>
    <row r="109" spans="1:6" ht="13.5" customHeight="1" outlineLevel="1" x14ac:dyDescent="0.2">
      <c r="A109" s="16"/>
      <c r="B109" s="1">
        <v>1</v>
      </c>
      <c r="C109" s="2" t="s">
        <v>66</v>
      </c>
      <c r="D109" s="2"/>
      <c r="E109" s="9"/>
      <c r="F109" s="31"/>
    </row>
    <row r="110" spans="1:6" ht="13.5" customHeight="1" outlineLevel="1" x14ac:dyDescent="0.2">
      <c r="A110" s="16"/>
      <c r="B110" s="1">
        <v>0</v>
      </c>
      <c r="C110" s="2" t="s">
        <v>60</v>
      </c>
      <c r="D110" s="2"/>
      <c r="E110" s="9"/>
      <c r="F110" s="32"/>
    </row>
    <row r="111" spans="1:6" outlineLevel="1" x14ac:dyDescent="0.2"/>
    <row r="112" spans="1:6" ht="15" x14ac:dyDescent="0.2">
      <c r="A112" s="12" t="s">
        <v>101</v>
      </c>
      <c r="E112" s="27">
        <f>SUM(F113:F129)</f>
        <v>0</v>
      </c>
      <c r="F112" s="27"/>
    </row>
    <row r="113" spans="1:6" ht="15" outlineLevel="1" x14ac:dyDescent="0.2">
      <c r="A113" s="18" t="s">
        <v>102</v>
      </c>
      <c r="B113" s="28" t="s">
        <v>15</v>
      </c>
      <c r="C113" s="29"/>
      <c r="D113" s="10"/>
      <c r="E113" s="8"/>
      <c r="F113" s="25" t="s">
        <v>23</v>
      </c>
    </row>
    <row r="114" spans="1:6" ht="13.5" customHeight="1" outlineLevel="1" x14ac:dyDescent="0.2">
      <c r="A114" s="16"/>
      <c r="B114" s="1">
        <v>3</v>
      </c>
      <c r="C114" s="2" t="s">
        <v>62</v>
      </c>
      <c r="D114" s="2"/>
      <c r="E114" s="9"/>
      <c r="F114" s="30">
        <f>IFERROR(INDEX(B114:B117,MATCH("x",E114:E117,0)),0)</f>
        <v>0</v>
      </c>
    </row>
    <row r="115" spans="1:6" ht="13.5" customHeight="1" outlineLevel="1" x14ac:dyDescent="0.2">
      <c r="A115" s="16"/>
      <c r="B115" s="1">
        <v>2</v>
      </c>
      <c r="C115" s="2" t="s">
        <v>64</v>
      </c>
      <c r="D115" s="2"/>
      <c r="E115" s="9"/>
      <c r="F115" s="31"/>
    </row>
    <row r="116" spans="1:6" ht="13.5" customHeight="1" outlineLevel="1" x14ac:dyDescent="0.2">
      <c r="A116" s="16"/>
      <c r="B116" s="1">
        <v>1</v>
      </c>
      <c r="C116" s="2" t="s">
        <v>63</v>
      </c>
      <c r="D116" s="2"/>
      <c r="E116" s="9"/>
      <c r="F116" s="31"/>
    </row>
    <row r="117" spans="1:6" ht="13.5" customHeight="1" outlineLevel="1" x14ac:dyDescent="0.2">
      <c r="A117" s="16"/>
      <c r="B117" s="1">
        <v>0</v>
      </c>
      <c r="C117" s="2" t="s">
        <v>27</v>
      </c>
      <c r="D117" s="2"/>
      <c r="E117" s="9"/>
      <c r="F117" s="32"/>
    </row>
    <row r="118" spans="1:6" outlineLevel="1" x14ac:dyDescent="0.2"/>
    <row r="119" spans="1:6" ht="15" outlineLevel="1" x14ac:dyDescent="0.2">
      <c r="A119" s="18" t="s">
        <v>103</v>
      </c>
      <c r="B119" s="28" t="s">
        <v>12</v>
      </c>
      <c r="C119" s="29"/>
      <c r="D119" s="10"/>
      <c r="E119" s="8"/>
      <c r="F119" s="25" t="s">
        <v>23</v>
      </c>
    </row>
    <row r="120" spans="1:6" ht="13.5" customHeight="1" outlineLevel="1" x14ac:dyDescent="0.2">
      <c r="A120" s="16"/>
      <c r="B120" s="1">
        <v>3</v>
      </c>
      <c r="C120" s="2" t="s">
        <v>56</v>
      </c>
      <c r="D120" s="2"/>
      <c r="E120" s="9"/>
      <c r="F120" s="30">
        <f>IFERROR(INDEX(B120:B123,MATCH("x",E120:E123,0)),0)</f>
        <v>0</v>
      </c>
    </row>
    <row r="121" spans="1:6" ht="13.5" customHeight="1" outlineLevel="1" x14ac:dyDescent="0.2">
      <c r="A121" s="16"/>
      <c r="B121" s="1">
        <v>2</v>
      </c>
      <c r="C121" s="2" t="s">
        <v>74</v>
      </c>
      <c r="D121" s="2"/>
      <c r="E121" s="9"/>
      <c r="F121" s="31"/>
    </row>
    <row r="122" spans="1:6" ht="13.5" customHeight="1" outlineLevel="1" x14ac:dyDescent="0.2">
      <c r="A122" s="16"/>
      <c r="B122" s="1">
        <v>1</v>
      </c>
      <c r="C122" s="2" t="s">
        <v>55</v>
      </c>
      <c r="D122" s="2"/>
      <c r="E122" s="9"/>
      <c r="F122" s="31"/>
    </row>
    <row r="123" spans="1:6" ht="13.5" customHeight="1" outlineLevel="1" x14ac:dyDescent="0.2">
      <c r="A123" s="16"/>
      <c r="B123" s="1">
        <v>0</v>
      </c>
      <c r="C123" s="2" t="s">
        <v>27</v>
      </c>
      <c r="D123" s="2"/>
      <c r="E123" s="9"/>
      <c r="F123" s="32"/>
    </row>
    <row r="124" spans="1:6" outlineLevel="1" x14ac:dyDescent="0.2"/>
    <row r="125" spans="1:6" ht="32.25" customHeight="1" outlineLevel="1" x14ac:dyDescent="0.2">
      <c r="A125" s="18" t="s">
        <v>104</v>
      </c>
      <c r="B125" s="34" t="s">
        <v>109</v>
      </c>
      <c r="C125" s="35"/>
      <c r="D125" s="10"/>
      <c r="E125" s="8"/>
      <c r="F125" s="25" t="s">
        <v>23</v>
      </c>
    </row>
    <row r="126" spans="1:6" ht="68.25" customHeight="1" outlineLevel="1" x14ac:dyDescent="0.2">
      <c r="A126" s="20"/>
      <c r="B126" s="21">
        <v>6</v>
      </c>
      <c r="C126" s="19" t="s">
        <v>107</v>
      </c>
      <c r="D126" s="22"/>
      <c r="E126" s="23"/>
      <c r="F126" s="30">
        <f>IFERROR(INDEX(B126:B129,MATCH("x",E126:E129,0)),0)</f>
        <v>0</v>
      </c>
    </row>
    <row r="127" spans="1:6" ht="81" customHeight="1" outlineLevel="1" x14ac:dyDescent="0.2">
      <c r="A127" s="20"/>
      <c r="B127" s="21">
        <v>4</v>
      </c>
      <c r="C127" s="19" t="s">
        <v>108</v>
      </c>
      <c r="D127" s="22"/>
      <c r="E127" s="23"/>
      <c r="F127" s="31"/>
    </row>
    <row r="128" spans="1:6" ht="68.25" customHeight="1" outlineLevel="1" x14ac:dyDescent="0.2">
      <c r="A128" s="20"/>
      <c r="B128" s="21">
        <v>2</v>
      </c>
      <c r="C128" s="19" t="s">
        <v>106</v>
      </c>
      <c r="D128" s="22"/>
      <c r="E128" s="23"/>
      <c r="F128" s="31"/>
    </row>
    <row r="129" spans="1:6" ht="13.5" customHeight="1" outlineLevel="1" x14ac:dyDescent="0.2">
      <c r="A129" s="20"/>
      <c r="B129" s="21">
        <v>0</v>
      </c>
      <c r="C129" s="24" t="s">
        <v>105</v>
      </c>
      <c r="D129" s="22"/>
      <c r="E129" s="23"/>
      <c r="F129" s="32"/>
    </row>
    <row r="130" spans="1:6" outlineLevel="1" x14ac:dyDescent="0.2"/>
    <row r="131" spans="1:6" x14ac:dyDescent="0.2">
      <c r="A131" s="14"/>
      <c r="B131" s="6" t="s">
        <v>19</v>
      </c>
      <c r="C131" s="6"/>
      <c r="D131" s="6"/>
      <c r="E131" s="33">
        <f>SUM(F5:F130)</f>
        <v>0</v>
      </c>
      <c r="F131" s="33"/>
    </row>
    <row r="132" spans="1:6" x14ac:dyDescent="0.2">
      <c r="A132" s="14"/>
      <c r="B132" s="6" t="s">
        <v>17</v>
      </c>
      <c r="C132" s="6"/>
      <c r="D132" s="6"/>
      <c r="E132" s="36">
        <f>63</f>
        <v>63</v>
      </c>
      <c r="F132" s="36"/>
    </row>
    <row r="133" spans="1:6" x14ac:dyDescent="0.2">
      <c r="A133" s="14"/>
      <c r="B133" s="6" t="s">
        <v>18</v>
      </c>
      <c r="C133" s="6"/>
      <c r="D133" s="6"/>
      <c r="E133" s="33">
        <f>ROUND(E131*5/E132+1,1)</f>
        <v>1</v>
      </c>
      <c r="F133" s="33"/>
    </row>
  </sheetData>
  <mergeCells count="51">
    <mergeCell ref="E133:F133"/>
    <mergeCell ref="B106:C106"/>
    <mergeCell ref="F107:F110"/>
    <mergeCell ref="E112:F112"/>
    <mergeCell ref="B113:C113"/>
    <mergeCell ref="F114:F117"/>
    <mergeCell ref="B119:C119"/>
    <mergeCell ref="F120:F123"/>
    <mergeCell ref="B125:C125"/>
    <mergeCell ref="F126:F129"/>
    <mergeCell ref="E131:F131"/>
    <mergeCell ref="E132:F132"/>
    <mergeCell ref="F101:F104"/>
    <mergeCell ref="B93:C93"/>
    <mergeCell ref="F94:F97"/>
    <mergeCell ref="F68:F71"/>
    <mergeCell ref="B73:C73"/>
    <mergeCell ref="F74:F77"/>
    <mergeCell ref="E79:F79"/>
    <mergeCell ref="B80:C80"/>
    <mergeCell ref="F81:F84"/>
    <mergeCell ref="E86:F86"/>
    <mergeCell ref="B87:C87"/>
    <mergeCell ref="F88:F91"/>
    <mergeCell ref="E99:F99"/>
    <mergeCell ref="B100:C100"/>
    <mergeCell ref="B67:C67"/>
    <mergeCell ref="B36:C36"/>
    <mergeCell ref="F37:F40"/>
    <mergeCell ref="B42:C42"/>
    <mergeCell ref="F43:F46"/>
    <mergeCell ref="E48:F48"/>
    <mergeCell ref="B49:C49"/>
    <mergeCell ref="F50:F53"/>
    <mergeCell ref="B55:C55"/>
    <mergeCell ref="F56:F59"/>
    <mergeCell ref="B61:C61"/>
    <mergeCell ref="F62:F65"/>
    <mergeCell ref="D2:F2"/>
    <mergeCell ref="E35:F35"/>
    <mergeCell ref="E4:F4"/>
    <mergeCell ref="B5:C5"/>
    <mergeCell ref="F6:F9"/>
    <mergeCell ref="B11:C11"/>
    <mergeCell ref="F12:F15"/>
    <mergeCell ref="B17:C17"/>
    <mergeCell ref="F18:F21"/>
    <mergeCell ref="B23:C23"/>
    <mergeCell ref="F24:F27"/>
    <mergeCell ref="B29:C29"/>
    <mergeCell ref="F30:F33"/>
  </mergeCells>
  <pageMargins left="0.6" right="0.42" top="0.78740157480314965" bottom="0.78740157480314965" header="0.31496062992125984" footer="0.31496062992125984"/>
  <pageSetup paperSize="9" scale="95" fitToHeight="0" orientation="portrait" r:id="rId1"/>
  <headerFooter>
    <oddFooter>&amp;L| &amp;F | &amp;A | &amp;D, &amp;T |</oddFooter>
  </headerFooter>
  <rowBreaks count="3" manualBreakCount="3">
    <brk id="47" max="5" man="1"/>
    <brk id="78" max="5" man="1"/>
    <brk id="111" max="5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LB1</vt:lpstr>
      <vt:lpstr>'LB1'!Bewertungsbereich</vt:lpstr>
      <vt:lpstr>'LB1'!Druckbereich</vt:lpstr>
      <vt:lpstr>'LB1'!Drucktitel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Urs Dummermuth</dc:creator>
  <cp:lastModifiedBy>Schneider Levyn</cp:lastModifiedBy>
  <cp:lastPrinted>2023-04-11T12:07:00Z</cp:lastPrinted>
  <dcterms:created xsi:type="dcterms:W3CDTF">2022-04-25T16:17:05Z</dcterms:created>
  <dcterms:modified xsi:type="dcterms:W3CDTF">2024-05-14T12:41:50Z</dcterms:modified>
</cp:coreProperties>
</file>